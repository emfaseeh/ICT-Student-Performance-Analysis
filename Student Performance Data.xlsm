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0" yWindow="108" windowWidth="22980" windowHeight="9288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1"/>
</calcChain>
</file>

<file path=xl/sharedStrings.xml><?xml version="1.0" encoding="utf-8"?>
<sst xmlns="http://schemas.openxmlformats.org/spreadsheetml/2006/main" count="70" uniqueCount="36">
  <si>
    <t>Student Name</t>
  </si>
  <si>
    <t>Subject</t>
  </si>
  <si>
    <t>Quiz</t>
  </si>
  <si>
    <t>Assignment</t>
  </si>
  <si>
    <t>Mid</t>
  </si>
  <si>
    <t>Final</t>
  </si>
  <si>
    <t>Total</t>
  </si>
  <si>
    <t>Average</t>
  </si>
  <si>
    <t>Status</t>
  </si>
  <si>
    <t>Ali Khan</t>
  </si>
  <si>
    <t>ICT</t>
  </si>
  <si>
    <t>Excellent</t>
  </si>
  <si>
    <t>Sara Ahmed</t>
  </si>
  <si>
    <t>Hamza Noor</t>
  </si>
  <si>
    <t>Good</t>
  </si>
  <si>
    <t>Ayesha Malik</t>
  </si>
  <si>
    <t>Umar Farooq</t>
  </si>
  <si>
    <t>Needs Improvement</t>
  </si>
  <si>
    <t>Zain Abbas</t>
  </si>
  <si>
    <t>PF</t>
  </si>
  <si>
    <t>Hira Sheikh</t>
  </si>
  <si>
    <t>Usman Tariq</t>
  </si>
  <si>
    <t>Maria Iqbal</t>
  </si>
  <si>
    <t>Ahmad Raza</t>
  </si>
  <si>
    <t>Faizan Ali</t>
  </si>
  <si>
    <t>Math</t>
  </si>
  <si>
    <t>Sanam Noor</t>
  </si>
  <si>
    <t>Bilal Hussain</t>
  </si>
  <si>
    <t>Iqra Khalid</t>
  </si>
  <si>
    <t>Daniyal Khan</t>
  </si>
  <si>
    <t>Mehak Shah</t>
  </si>
  <si>
    <t>Arslan Javed</t>
  </si>
  <si>
    <t>Nimra Fatima</t>
  </si>
  <si>
    <t>Rehan Ahmed</t>
  </si>
  <si>
    <t>Laiba Noor</t>
  </si>
  <si>
    <t>Student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</si>
</sst>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22</xdr:row>
          <xdr:rowOff>53340</xdr:rowOff>
        </xdr:from>
        <xdr:to>
          <xdr:col>2</xdr:col>
          <xdr:colOff>525780</xdr:colOff>
          <xdr:row>23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Format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J21" totalsRowShown="0" headerRowDxfId="0" dataDxfId="2">
  <autoFilter ref="A1:J21"/>
  <tableColumns count="10">
    <tableColumn id="1" name="Student ID" dataDxfId="12"/>
    <tableColumn id="2" name="Student Name" dataDxfId="11"/>
    <tableColumn id="3" name="Subject" dataDxfId="10"/>
    <tableColumn id="4" name="Quiz" dataDxfId="9"/>
    <tableColumn id="5" name="Assignment" dataDxfId="8"/>
    <tableColumn id="6" name="Mid" dataDxfId="7"/>
    <tableColumn id="7" name="Final" dataDxfId="6"/>
    <tableColumn id="8" name="Total" dataDxfId="5">
      <calculatedColumnFormula>SUM(D2:G2)</calculatedColumnFormula>
    </tableColumn>
    <tableColumn id="9" name="Average" dataDxfId="4"/>
    <tableColumn id="10" name="Statu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1"/>
  <sheetViews>
    <sheetView tabSelected="1" workbookViewId="0">
      <selection activeCell="G28" sqref="G28"/>
    </sheetView>
  </sheetViews>
  <sheetFormatPr defaultColWidth="17" defaultRowHeight="14.4" x14ac:dyDescent="0.3"/>
  <cols>
    <col min="1" max="1" width="17" style="3"/>
    <col min="2" max="2" width="19.6640625" style="5" customWidth="1"/>
    <col min="10" max="10" width="19.88671875" customWidth="1"/>
  </cols>
  <sheetData>
    <row r="1" spans="1:10" s="1" customFormat="1" ht="15.6" x14ac:dyDescent="0.3">
      <c r="A1" s="1" t="s">
        <v>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spans="1:10" ht="15.6" x14ac:dyDescent="0.3">
      <c r="A2" s="2">
        <v>101</v>
      </c>
      <c r="B2" s="4" t="s">
        <v>9</v>
      </c>
      <c r="C2" s="2" t="s">
        <v>10</v>
      </c>
      <c r="D2" s="2">
        <v>78</v>
      </c>
      <c r="E2" s="2">
        <v>82</v>
      </c>
      <c r="F2" s="2">
        <v>75</v>
      </c>
      <c r="G2" s="2">
        <v>88</v>
      </c>
      <c r="H2" s="2">
        <f>SUM(D2:G2)</f>
        <v>323</v>
      </c>
      <c r="I2" s="2">
        <v>80.75</v>
      </c>
      <c r="J2" s="2" t="s">
        <v>11</v>
      </c>
    </row>
    <row r="3" spans="1:10" ht="15.6" x14ac:dyDescent="0.3">
      <c r="A3" s="2">
        <v>102</v>
      </c>
      <c r="B3" s="4" t="s">
        <v>12</v>
      </c>
      <c r="C3" s="2" t="s">
        <v>10</v>
      </c>
      <c r="D3" s="2">
        <v>85</v>
      </c>
      <c r="E3" s="2">
        <v>90</v>
      </c>
      <c r="F3" s="2">
        <v>88</v>
      </c>
      <c r="G3" s="2">
        <v>92</v>
      </c>
      <c r="H3" s="2">
        <f t="shared" ref="H3:H21" si="0">SUM(D3:G3)</f>
        <v>355</v>
      </c>
      <c r="I3" s="2">
        <v>88.75</v>
      </c>
      <c r="J3" s="2" t="s">
        <v>11</v>
      </c>
    </row>
    <row r="4" spans="1:10" ht="15.6" x14ac:dyDescent="0.3">
      <c r="A4" s="2">
        <v>103</v>
      </c>
      <c r="B4" s="4" t="s">
        <v>13</v>
      </c>
      <c r="C4" s="2" t="s">
        <v>10</v>
      </c>
      <c r="D4" s="2">
        <v>60</v>
      </c>
      <c r="E4" s="2">
        <v>65</v>
      </c>
      <c r="F4" s="2">
        <v>58</v>
      </c>
      <c r="G4" s="2">
        <v>62</v>
      </c>
      <c r="H4" s="2">
        <f t="shared" si="0"/>
        <v>245</v>
      </c>
      <c r="I4" s="2">
        <v>61.25</v>
      </c>
      <c r="J4" s="2" t="s">
        <v>14</v>
      </c>
    </row>
    <row r="5" spans="1:10" ht="15.6" x14ac:dyDescent="0.3">
      <c r="A5" s="2">
        <v>104</v>
      </c>
      <c r="B5" s="4" t="s">
        <v>15</v>
      </c>
      <c r="C5" s="2" t="s">
        <v>10</v>
      </c>
      <c r="D5" s="2">
        <v>72</v>
      </c>
      <c r="E5" s="2">
        <v>70</v>
      </c>
      <c r="F5" s="2">
        <v>68</v>
      </c>
      <c r="G5" s="2">
        <v>74</v>
      </c>
      <c r="H5" s="2">
        <f t="shared" si="0"/>
        <v>284</v>
      </c>
      <c r="I5" s="2">
        <v>71</v>
      </c>
      <c r="J5" s="2" t="s">
        <v>14</v>
      </c>
    </row>
    <row r="6" spans="1:10" ht="15.6" x14ac:dyDescent="0.3">
      <c r="A6" s="2">
        <v>105</v>
      </c>
      <c r="B6" s="4" t="s">
        <v>16</v>
      </c>
      <c r="C6" s="2" t="s">
        <v>10</v>
      </c>
      <c r="D6" s="2">
        <v>45</v>
      </c>
      <c r="E6" s="2">
        <v>50</v>
      </c>
      <c r="F6" s="2">
        <v>48</v>
      </c>
      <c r="G6" s="2">
        <v>52</v>
      </c>
      <c r="H6" s="2">
        <f t="shared" si="0"/>
        <v>195</v>
      </c>
      <c r="I6" s="2">
        <v>48.75</v>
      </c>
      <c r="J6" s="2" t="s">
        <v>17</v>
      </c>
    </row>
    <row r="7" spans="1:10" ht="15.6" x14ac:dyDescent="0.3">
      <c r="A7" s="2">
        <v>106</v>
      </c>
      <c r="B7" s="4" t="s">
        <v>18</v>
      </c>
      <c r="C7" s="2" t="s">
        <v>19</v>
      </c>
      <c r="D7" s="2">
        <v>80</v>
      </c>
      <c r="E7" s="2">
        <v>78</v>
      </c>
      <c r="F7" s="2">
        <v>82</v>
      </c>
      <c r="G7" s="2">
        <v>85</v>
      </c>
      <c r="H7" s="2">
        <f t="shared" si="0"/>
        <v>325</v>
      </c>
      <c r="I7" s="2">
        <v>81.25</v>
      </c>
      <c r="J7" s="2" t="s">
        <v>11</v>
      </c>
    </row>
    <row r="8" spans="1:10" ht="15.6" x14ac:dyDescent="0.3">
      <c r="A8" s="2">
        <v>107</v>
      </c>
      <c r="B8" s="4" t="s">
        <v>20</v>
      </c>
      <c r="C8" s="2" t="s">
        <v>19</v>
      </c>
      <c r="D8" s="2">
        <v>68</v>
      </c>
      <c r="E8" s="2">
        <v>72</v>
      </c>
      <c r="F8" s="2">
        <v>70</v>
      </c>
      <c r="G8" s="2">
        <v>75</v>
      </c>
      <c r="H8" s="2">
        <f t="shared" si="0"/>
        <v>285</v>
      </c>
      <c r="I8" s="2">
        <v>71.25</v>
      </c>
      <c r="J8" s="2" t="s">
        <v>14</v>
      </c>
    </row>
    <row r="9" spans="1:10" ht="15.6" x14ac:dyDescent="0.3">
      <c r="A9" s="2">
        <v>108</v>
      </c>
      <c r="B9" s="4" t="s">
        <v>21</v>
      </c>
      <c r="C9" s="2" t="s">
        <v>19</v>
      </c>
      <c r="D9" s="2">
        <v>55</v>
      </c>
      <c r="E9" s="2">
        <v>58</v>
      </c>
      <c r="F9" s="2">
        <v>60</v>
      </c>
      <c r="G9" s="2">
        <v>62</v>
      </c>
      <c r="H9" s="2">
        <f t="shared" si="0"/>
        <v>235</v>
      </c>
      <c r="I9" s="2">
        <v>58.75</v>
      </c>
      <c r="J9" s="2" t="s">
        <v>7</v>
      </c>
    </row>
    <row r="10" spans="1:10" ht="15.6" x14ac:dyDescent="0.3">
      <c r="A10" s="2">
        <v>109</v>
      </c>
      <c r="B10" s="4" t="s">
        <v>22</v>
      </c>
      <c r="C10" s="2" t="s">
        <v>19</v>
      </c>
      <c r="D10" s="2">
        <v>90</v>
      </c>
      <c r="E10" s="2">
        <v>92</v>
      </c>
      <c r="F10" s="2">
        <v>94</v>
      </c>
      <c r="G10" s="2">
        <v>96</v>
      </c>
      <c r="H10" s="2">
        <f t="shared" si="0"/>
        <v>372</v>
      </c>
      <c r="I10" s="2">
        <v>93</v>
      </c>
      <c r="J10" s="2" t="s">
        <v>11</v>
      </c>
    </row>
    <row r="11" spans="1:10" ht="15.6" x14ac:dyDescent="0.3">
      <c r="A11" s="2">
        <v>110</v>
      </c>
      <c r="B11" s="4" t="s">
        <v>23</v>
      </c>
      <c r="C11" s="2" t="s">
        <v>19</v>
      </c>
      <c r="D11" s="2">
        <v>48</v>
      </c>
      <c r="E11" s="2">
        <v>45</v>
      </c>
      <c r="F11" s="2">
        <v>50</v>
      </c>
      <c r="G11" s="2">
        <v>55</v>
      </c>
      <c r="H11" s="2">
        <f t="shared" si="0"/>
        <v>198</v>
      </c>
      <c r="I11" s="2">
        <v>49.5</v>
      </c>
      <c r="J11" s="2" t="s">
        <v>17</v>
      </c>
    </row>
    <row r="12" spans="1:10" ht="15.6" x14ac:dyDescent="0.3">
      <c r="A12" s="2">
        <v>111</v>
      </c>
      <c r="B12" s="4" t="s">
        <v>24</v>
      </c>
      <c r="C12" s="2" t="s">
        <v>25</v>
      </c>
      <c r="D12" s="2">
        <v>76</v>
      </c>
      <c r="E12" s="2">
        <v>74</v>
      </c>
      <c r="F12" s="2">
        <v>78</v>
      </c>
      <c r="G12" s="2">
        <v>80</v>
      </c>
      <c r="H12" s="2">
        <f t="shared" si="0"/>
        <v>308</v>
      </c>
      <c r="I12" s="2">
        <v>77</v>
      </c>
      <c r="J12" s="2" t="s">
        <v>11</v>
      </c>
    </row>
    <row r="13" spans="1:10" ht="15.6" x14ac:dyDescent="0.3">
      <c r="A13" s="2">
        <v>112</v>
      </c>
      <c r="B13" s="4" t="s">
        <v>26</v>
      </c>
      <c r="C13" s="2" t="s">
        <v>25</v>
      </c>
      <c r="D13" s="2">
        <v>82</v>
      </c>
      <c r="E13" s="2">
        <v>85</v>
      </c>
      <c r="F13" s="2">
        <v>88</v>
      </c>
      <c r="G13" s="2">
        <v>90</v>
      </c>
      <c r="H13" s="2">
        <f t="shared" si="0"/>
        <v>345</v>
      </c>
      <c r="I13" s="2">
        <v>86.25</v>
      </c>
      <c r="J13" s="2" t="s">
        <v>11</v>
      </c>
    </row>
    <row r="14" spans="1:10" ht="15.6" x14ac:dyDescent="0.3">
      <c r="A14" s="2">
        <v>113</v>
      </c>
      <c r="B14" s="4" t="s">
        <v>27</v>
      </c>
      <c r="C14" s="2" t="s">
        <v>25</v>
      </c>
      <c r="D14" s="2">
        <v>60</v>
      </c>
      <c r="E14" s="2">
        <v>62</v>
      </c>
      <c r="F14" s="2">
        <v>65</v>
      </c>
      <c r="G14" s="2">
        <v>68</v>
      </c>
      <c r="H14" s="2">
        <f t="shared" si="0"/>
        <v>255</v>
      </c>
      <c r="I14" s="2">
        <v>63.75</v>
      </c>
      <c r="J14" s="2" t="s">
        <v>14</v>
      </c>
    </row>
    <row r="15" spans="1:10" ht="15.6" x14ac:dyDescent="0.3">
      <c r="A15" s="2">
        <v>114</v>
      </c>
      <c r="B15" s="4" t="s">
        <v>28</v>
      </c>
      <c r="C15" s="2" t="s">
        <v>25</v>
      </c>
      <c r="D15" s="2">
        <v>52</v>
      </c>
      <c r="E15" s="2">
        <v>55</v>
      </c>
      <c r="F15" s="2">
        <v>50</v>
      </c>
      <c r="G15" s="2">
        <v>58</v>
      </c>
      <c r="H15" s="2">
        <f t="shared" si="0"/>
        <v>215</v>
      </c>
      <c r="I15" s="2">
        <v>53.75</v>
      </c>
      <c r="J15" s="2" t="s">
        <v>7</v>
      </c>
    </row>
    <row r="16" spans="1:10" ht="15.6" x14ac:dyDescent="0.3">
      <c r="A16" s="2">
        <v>115</v>
      </c>
      <c r="B16" s="4" t="s">
        <v>29</v>
      </c>
      <c r="C16" s="2" t="s">
        <v>25</v>
      </c>
      <c r="D16" s="2">
        <v>40</v>
      </c>
      <c r="E16" s="2">
        <v>45</v>
      </c>
      <c r="F16" s="2">
        <v>42</v>
      </c>
      <c r="G16" s="2">
        <v>48</v>
      </c>
      <c r="H16" s="2">
        <f t="shared" si="0"/>
        <v>175</v>
      </c>
      <c r="I16" s="2">
        <v>43.75</v>
      </c>
      <c r="J16" s="2" t="s">
        <v>17</v>
      </c>
    </row>
    <row r="17" spans="1:10" ht="15.6" x14ac:dyDescent="0.3">
      <c r="A17" s="2">
        <v>116</v>
      </c>
      <c r="B17" s="4" t="s">
        <v>30</v>
      </c>
      <c r="C17" s="2" t="s">
        <v>10</v>
      </c>
      <c r="D17" s="2">
        <v>88</v>
      </c>
      <c r="E17" s="2">
        <v>86</v>
      </c>
      <c r="F17" s="2">
        <v>90</v>
      </c>
      <c r="G17" s="2">
        <v>92</v>
      </c>
      <c r="H17" s="2">
        <f t="shared" si="0"/>
        <v>356</v>
      </c>
      <c r="I17" s="2">
        <v>89</v>
      </c>
      <c r="J17" s="2" t="s">
        <v>11</v>
      </c>
    </row>
    <row r="18" spans="1:10" ht="15.6" x14ac:dyDescent="0.3">
      <c r="A18" s="2">
        <v>117</v>
      </c>
      <c r="B18" s="4" t="s">
        <v>31</v>
      </c>
      <c r="C18" s="2" t="s">
        <v>19</v>
      </c>
      <c r="D18" s="2">
        <v>70</v>
      </c>
      <c r="E18" s="2">
        <v>68</v>
      </c>
      <c r="F18" s="2">
        <v>72</v>
      </c>
      <c r="G18" s="2">
        <v>75</v>
      </c>
      <c r="H18" s="2">
        <f t="shared" si="0"/>
        <v>285</v>
      </c>
      <c r="I18" s="2">
        <v>71.25</v>
      </c>
      <c r="J18" s="2" t="s">
        <v>14</v>
      </c>
    </row>
    <row r="19" spans="1:10" ht="15.6" x14ac:dyDescent="0.3">
      <c r="A19" s="2">
        <v>118</v>
      </c>
      <c r="B19" s="4" t="s">
        <v>32</v>
      </c>
      <c r="C19" s="2" t="s">
        <v>25</v>
      </c>
      <c r="D19" s="2">
        <v>95</v>
      </c>
      <c r="E19" s="2">
        <v>92</v>
      </c>
      <c r="F19" s="2">
        <v>94</v>
      </c>
      <c r="G19" s="2">
        <v>96</v>
      </c>
      <c r="H19" s="2">
        <f t="shared" si="0"/>
        <v>377</v>
      </c>
      <c r="I19" s="2">
        <v>94.25</v>
      </c>
      <c r="J19" s="2" t="s">
        <v>11</v>
      </c>
    </row>
    <row r="20" spans="1:10" ht="15.6" x14ac:dyDescent="0.3">
      <c r="A20" s="2">
        <v>119</v>
      </c>
      <c r="B20" s="4" t="s">
        <v>33</v>
      </c>
      <c r="C20" s="2" t="s">
        <v>10</v>
      </c>
      <c r="D20" s="2">
        <v>58</v>
      </c>
      <c r="E20" s="2">
        <v>60</v>
      </c>
      <c r="F20" s="2">
        <v>62</v>
      </c>
      <c r="G20" s="2">
        <v>65</v>
      </c>
      <c r="H20" s="2">
        <f t="shared" si="0"/>
        <v>245</v>
      </c>
      <c r="I20" s="2">
        <v>61.25</v>
      </c>
      <c r="J20" s="2" t="s">
        <v>14</v>
      </c>
    </row>
    <row r="21" spans="1:10" ht="15.6" x14ac:dyDescent="0.3">
      <c r="A21" s="2">
        <v>120</v>
      </c>
      <c r="B21" s="4" t="s">
        <v>34</v>
      </c>
      <c r="C21" s="2" t="s">
        <v>19</v>
      </c>
      <c r="D21" s="2">
        <v>73</v>
      </c>
      <c r="E21" s="2">
        <v>75</v>
      </c>
      <c r="F21" s="2">
        <v>78</v>
      </c>
      <c r="G21" s="2">
        <v>80</v>
      </c>
      <c r="H21" s="2">
        <f t="shared" si="0"/>
        <v>306</v>
      </c>
      <c r="I21" s="2">
        <v>76.5</v>
      </c>
      <c r="J21" s="2" t="s">
        <v>11</v>
      </c>
    </row>
  </sheetData>
  <conditionalFormatting sqref="I1:I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{56B0A671-03A8-4158-A47D-2F9DD354B3CD}</x14:id>
        </ext>
      </extLst>
    </cfRule>
  </conditionalFormatting>
  <conditionalFormatting sqref="J1:J1048576">
    <cfRule type="iconSet" priority="2">
      <iconSet iconSet="3Symbols2">
        <cfvo type="percent" val="0"/>
        <cfvo type="percent" val="33"/>
        <cfvo type="percent" val="67"/>
      </iconSet>
    </cfRule>
  </conditionalFormatting>
  <conditionalFormatting sqref="D1:D1048576">
    <cfRule type="cellIs" dxfId="1" priority="1" operator="lessThan">
      <formula>50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_Format_Data">
                <anchor moveWithCells="1">
                  <from>
                    <xdr:col>1</xdr:col>
                    <xdr:colOff>144780</xdr:colOff>
                    <xdr:row>22</xdr:row>
                    <xdr:rowOff>53340</xdr:rowOff>
                  </from>
                  <to>
                    <xdr:col>2</xdr:col>
                    <xdr:colOff>525780</xdr:colOff>
                    <xdr:row>23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B0A671-03A8-4158-A47D-2F9DD354B3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Wahid</dc:creator>
  <cp:lastModifiedBy>Al Wahid</cp:lastModifiedBy>
  <dcterms:created xsi:type="dcterms:W3CDTF">2026-01-31T14:05:58Z</dcterms:created>
  <dcterms:modified xsi:type="dcterms:W3CDTF">2026-01-31T15:01:25Z</dcterms:modified>
</cp:coreProperties>
</file>